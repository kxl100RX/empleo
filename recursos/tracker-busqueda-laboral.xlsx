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ostulaciones" sheetId="1" state="visible" r:id="rId3"/>
    <sheet name="Mis alertas" sheetId="2" state="visible" r:id="rId4"/>
    <sheet name="Plan de capacitación" sheetId="3" state="visible" r:id="rId5"/>
    <sheet name="Dashboard" sheetId="4" state="visible" r:id="rId6"/>
    <sheet name="Diagnóstico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<sst xmlns="http://schemas.openxmlformats.org/spreadsheetml/2006/main" count="91" uniqueCount="84">
  <si>
    <t xml:space="preserve">Seguimiento de postulaciones</t>
  </si>
  <si>
    <t xml:space="preserve">Completá una fila por cada postulación. Cargar 'Fecha de respuesta' y 'Motivo' es lo que alimenta el Diagnóstico de la hoja Dashboard — cuanto más completo, mejores los consejos.</t>
  </si>
  <si>
    <t xml:space="preserve">Empresa</t>
  </si>
  <si>
    <t xml:space="preserve">Puesto</t>
  </si>
  <si>
    <t xml:space="preserve">Portal / fuente</t>
  </si>
  <si>
    <t xml:space="preserve">Fecha de postulación</t>
  </si>
  <si>
    <t xml:space="preserve">Estado</t>
  </si>
  <si>
    <t xml:space="preserve">Próximo seguimiento</t>
  </si>
  <si>
    <t xml:space="preserve">Salario ofrecido/estimado</t>
  </si>
  <si>
    <t xml:space="preserve">Contacto</t>
  </si>
  <si>
    <t xml:space="preserve">Link de la oferta</t>
  </si>
  <si>
    <t xml:space="preserve">Fecha de respuesta</t>
  </si>
  <si>
    <t xml:space="preserve">Motivo (si no avanzó)</t>
  </si>
  <si>
    <t xml:space="preserve">Notas</t>
  </si>
  <si>
    <t xml:space="preserve">Ejemplo S.A.</t>
  </si>
  <si>
    <t xml:space="preserve">Analista de Datos Jr.</t>
  </si>
  <si>
    <t xml:space="preserve">LinkedIn</t>
  </si>
  <si>
    <t xml:space="preserve">Rechazado</t>
  </si>
  <si>
    <t xml:space="preserve">$900.000 ARS</t>
  </si>
  <si>
    <t xml:space="preserve">Laura RRHH</t>
  </si>
  <si>
    <t xml:space="preserve">https://linkedin.com/jobs/...</t>
  </si>
  <si>
    <t xml:space="preserve">Habilidad técnica faltante</t>
  </si>
  <si>
    <t xml:space="preserve">Pidieron más experiencia en Power BI</t>
  </si>
  <si>
    <t xml:space="preserve">Alertas de empleo configuradas</t>
  </si>
  <si>
    <t xml:space="preserve">Registrá en qué portales activaste alertas para no duplicar ni olvidarte de revisar.</t>
  </si>
  <si>
    <t xml:space="preserve">Portal</t>
  </si>
  <si>
    <t xml:space="preserve">Búsqueda / palabras clave</t>
  </si>
  <si>
    <t xml:space="preserve">Ubicación</t>
  </si>
  <si>
    <t xml:space="preserve">Fecha creada</t>
  </si>
  <si>
    <t xml:space="preserve">Link directo</t>
  </si>
  <si>
    <t xml:space="preserve">analista de datos junior</t>
  </si>
  <si>
    <t xml:space="preserve">Buenos Aires, Argentina</t>
  </si>
  <si>
    <t xml:space="preserve">2026-08-16</t>
  </si>
  <si>
    <t xml:space="preserve">https://www.linkedin.com/jobs/search/?keywords=...</t>
  </si>
  <si>
    <t xml:space="preserve">Computrabajo</t>
  </si>
  <si>
    <t xml:space="preserve">analista de datos</t>
  </si>
  <si>
    <t xml:space="preserve">Buenos Aires</t>
  </si>
  <si>
    <t xml:space="preserve">https://ar.computrabajo.com/trabajo-de-analista-de-datos</t>
  </si>
  <si>
    <t xml:space="preserve">Plan de capacitación</t>
  </si>
  <si>
    <t xml:space="preserve">En base a los tips de tu perfil: qué reforzar, con qué recurso gratuito y para cuándo.</t>
  </si>
  <si>
    <t xml:space="preserve">Habilidad / certificación a reforzar</t>
  </si>
  <si>
    <t xml:space="preserve">Recurso gratuito sugerido</t>
  </si>
  <si>
    <t xml:space="preserve">Fecha objetivo</t>
  </si>
  <si>
    <t xml:space="preserve">SQL / bases de datos</t>
  </si>
  <si>
    <t xml:space="preserve">Kaggle Learn - SQL (gratis)</t>
  </si>
  <si>
    <t xml:space="preserve">En curso</t>
  </si>
  <si>
    <t xml:space="preserve">2026-09-01</t>
  </si>
  <si>
    <t xml:space="preserve">Inglés técnico</t>
  </si>
  <si>
    <t xml:space="preserve">BBC Learning English (gratis)</t>
  </si>
  <si>
    <t xml:space="preserve">Por empezar</t>
  </si>
  <si>
    <t xml:space="preserve">2026-10-01</t>
  </si>
  <si>
    <t xml:space="preserve">Dashboard de mi búsqueda</t>
  </si>
  <si>
    <t xml:space="preserve">Se actualiza solo a partir de la hoja 'Postulaciones'. El Diagnóstico dinámico está en la hoja siguiente.</t>
  </si>
  <si>
    <t xml:space="preserve">Métrica</t>
  </si>
  <si>
    <t xml:space="preserve">Cantidad</t>
  </si>
  <si>
    <t xml:space="preserve">Total de postulaciones</t>
  </si>
  <si>
    <t xml:space="preserve">Aplicado</t>
  </si>
  <si>
    <t xml:space="preserve">En proceso</t>
  </si>
  <si>
    <t xml:space="preserve">Entrevista</t>
  </si>
  <si>
    <t xml:space="preserve">Oferta recibida</t>
  </si>
  <si>
    <t xml:space="preserve">Sin respuesta</t>
  </si>
  <si>
    <t xml:space="preserve">Tasa de avance a entrevista (entrevista+oferta / total)</t>
  </si>
  <si>
    <t xml:space="preserve">🔎 Diagnóstico de tu búsqueda</t>
  </si>
  <si>
    <t xml:space="preserve">Se recalcula solo con lo que vas cargando en 'Postulaciones'. Cuanto más completes Fecha de respuesta y Motivo, más preciso es.</t>
  </si>
  <si>
    <t xml:space="preserve">Indicador</t>
  </si>
  <si>
    <t xml:space="preserve">Valor</t>
  </si>
  <si>
    <t xml:space="preserve">% sin respuesta (ghosting)</t>
  </si>
  <si>
    <t xml:space="preserve">% con respuesta (cualquier tipo)</t>
  </si>
  <si>
    <t xml:space="preserve">Tiempo promedio de respuesta (días)</t>
  </si>
  <si>
    <t xml:space="preserve">Tasa de avance a entrevista</t>
  </si>
  <si>
    <t xml:space="preserve">Motivos de cierre — ranking (según lo cargado en 'Motivo')</t>
  </si>
  <si>
    <t xml:space="preserve">Motivo</t>
  </si>
  <si>
    <t xml:space="preserve">Sin respuesta del reclutador</t>
  </si>
  <si>
    <t xml:space="preserve">Búsqueda cerrada / pausada por la empresa</t>
  </si>
  <si>
    <t xml:space="preserve">Requisito de experiencia no cumplido</t>
  </si>
  <si>
    <t xml:space="preserve">Expectativa salarial no acorde</t>
  </si>
  <si>
    <t xml:space="preserve">Otro candidato seleccionado</t>
  </si>
  <si>
    <t xml:space="preserve">Entrevista no fue bien</t>
  </si>
  <si>
    <t xml:space="preserve">No pasó el filtro CV / ATS</t>
  </si>
  <si>
    <t xml:space="preserve">Proceso muy largo / desistí yo</t>
  </si>
  <si>
    <t xml:space="preserve">Otro</t>
  </si>
  <si>
    <t xml:space="preserve">Motivo más frecuente:</t>
  </si>
  <si>
    <t xml:space="preserve">💡 Recomendaciones para tu perfil (se actualizan solas)</t>
  </si>
  <si>
    <t xml:space="preserve">Las filas de recomendaciones que ves vacías es porque esa condición todavía no aplica a tu caso — a medida que cargues más postulaciones van a ir apareciendo o cambiando solas.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</si>
</sst>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yyyy\-mm\-dd"/>
    <numFmt numFmtId="166" formatCode="General"/>
    <numFmt numFmtId="167" formatCode="0.0%"/>
    <numFmt numFmtId="168" formatCode="0.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2"/>
      <color rgb="FF6D28D9"/>
      <name val="Arial"/>
      <family val="0"/>
      <charset val="1"/>
    </font>
    <font>
      <b val="true"/>
      <sz val="10"/>
      <color rgb="FF6D28D9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2C3E50"/>
        <bgColor rgb="FF003366"/>
      </patternFill>
    </fill>
    <fill>
      <patternFill patternType="solid">
        <fgColor rgb="FFFFF9C4"/>
        <bgColor rgb="FFFFF3E0"/>
      </patternFill>
    </fill>
    <fill>
      <patternFill patternType="solid">
        <fgColor rgb="FF6D28D9"/>
        <bgColor rgb="FF800080"/>
      </patternFill>
    </fill>
    <fill>
      <patternFill patternType="solid">
        <fgColor rgb="FFFFF3E0"/>
        <bgColor rgb="FFFFF9C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993366"/>
      <rgbColor rgb="FFFFF9C4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3E0"/>
      <rgbColor rgb="FF99CCFF"/>
      <rgbColor rgb="FFFF99CC"/>
      <rgbColor rgb="FFCC99FF"/>
      <rgbColor rgb="FFFFCC99"/>
      <rgbColor rgb="FF4F81BD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6D28D9"/>
      <rgbColor rgb="FF2C3E5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Postulaciones por estado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Dashboard!$A$6:$A$11</c:f>
              <c:strCache>
                <c:ptCount val="6"/>
                <c:pt idx="0">
                  <c:v>Aplicado</c:v>
                </c:pt>
                <c:pt idx="1">
                  <c:v>En proceso</c:v>
                </c:pt>
                <c:pt idx="2">
                  <c:v>Entrevista</c:v>
                </c:pt>
                <c:pt idx="3">
                  <c:v>Oferta recibida</c:v>
                </c:pt>
                <c:pt idx="4">
                  <c:v>Rechazado</c:v>
                </c:pt>
                <c:pt idx="5">
                  <c:v>Sin respuesta</c:v>
                </c:pt>
              </c:strCache>
            </c:strRef>
          </c:cat>
          <c:val>
            <c:numRef>
              <c:f>Dashboard!$B$6:$B$11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</c:numCache>
            </c:numRef>
          </c:val>
        </c:ser>
        <c:gapWidth val="150"/>
        <c:overlap val="0"/>
        <c:axId val="36859682"/>
        <c:axId val="50225410"/>
      </c:barChart>
      <c:catAx>
        <c:axId val="3685968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0225410"/>
        <c:crosses val="autoZero"/>
        <c:auto val="1"/>
        <c:lblAlgn val="ctr"/>
        <c:lblOffset val="100"/>
        <c:noMultiLvlLbl val="0"/>
      </c:catAx>
      <c:valAx>
        <c:axId val="5022541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Cantidad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685968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0</xdr:colOff>
      <xdr:row>2</xdr:row>
      <xdr:rowOff>160920</xdr:rowOff>
    </xdr:from>
    <xdr:to>
      <xdr:col>11</xdr:col>
      <xdr:colOff>507600</xdr:colOff>
      <xdr:row>17</xdr:row>
      <xdr:rowOff>2880</xdr:rowOff>
    </xdr:to>
    <xdr:graphicFrame>
      <xdr:nvGraphicFramePr>
        <xdr:cNvPr id="0" name="Chart 1"/>
        <xdr:cNvGraphicFramePr/>
      </xdr:nvGraphicFramePr>
      <xdr:xfrm>
        <a:off x="4417560" y="571680"/>
        <a:ext cx="53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22"/>
    <col collapsed="false" customWidth="true" hidden="false" outlineLevel="0" max="3" min="3" style="0" width="16"/>
    <col collapsed="false" customWidth="true" hidden="false" outlineLevel="0" max="4" min="4" style="0" width="15"/>
    <col collapsed="false" customWidth="true" hidden="false" outlineLevel="0" max="5" min="5" style="0" width="16"/>
    <col collapsed="false" customWidth="true" hidden="false" outlineLevel="0" max="6" min="6" style="0" width="15"/>
    <col collapsed="false" customWidth="true" hidden="false" outlineLevel="0" max="7" min="7" style="0" width="18"/>
    <col collapsed="false" customWidth="true" hidden="false" outlineLevel="0" max="8" min="8" style="0" width="16"/>
    <col collapsed="false" customWidth="true" hidden="false" outlineLevel="0" max="9" min="9" style="0" width="26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2" min="12" style="0" width="26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39.5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</row>
    <row r="5" customFormat="false" ht="15" hidden="false" customHeight="false" outlineLevel="0" collapsed="false">
      <c r="A5" s="4" t="s">
        <v>14</v>
      </c>
      <c r="B5" s="4" t="s">
        <v>15</v>
      </c>
      <c r="C5" s="4" t="s">
        <v>16</v>
      </c>
      <c r="D5" s="5" t="n">
        <v>46244</v>
      </c>
      <c r="E5" s="4" t="s">
        <v>17</v>
      </c>
      <c r="F5" s="5" t="n">
        <v>46254</v>
      </c>
      <c r="G5" s="4" t="s">
        <v>18</v>
      </c>
      <c r="H5" s="4" t="s">
        <v>19</v>
      </c>
      <c r="I5" s="4" t="s">
        <v>20</v>
      </c>
      <c r="J5" s="5" t="n">
        <v>46249</v>
      </c>
      <c r="K5" s="4" t="s">
        <v>21</v>
      </c>
      <c r="L5" s="4" t="s">
        <v>22</v>
      </c>
    </row>
    <row r="6" customFormat="false" ht="15" hidden="false" customHeight="false" outlineLevel="0" collapsed="false">
      <c r="A6" s="4"/>
      <c r="B6" s="4"/>
      <c r="C6" s="4"/>
      <c r="D6" s="5"/>
      <c r="E6" s="4"/>
      <c r="F6" s="5"/>
      <c r="G6" s="4"/>
      <c r="H6" s="4"/>
      <c r="I6" s="4"/>
      <c r="J6" s="5"/>
      <c r="K6" s="4"/>
      <c r="L6" s="4"/>
    </row>
    <row r="7" customFormat="false" ht="15" hidden="false" customHeight="false" outlineLevel="0" collapsed="false">
      <c r="A7" s="4"/>
      <c r="B7" s="4"/>
      <c r="C7" s="4"/>
      <c r="D7" s="5"/>
      <c r="E7" s="4"/>
      <c r="F7" s="5"/>
      <c r="G7" s="4"/>
      <c r="H7" s="4"/>
      <c r="I7" s="4"/>
      <c r="J7" s="5"/>
      <c r="K7" s="4"/>
      <c r="L7" s="4"/>
    </row>
    <row r="8" customFormat="false" ht="15" hidden="false" customHeight="false" outlineLevel="0" collapsed="false">
      <c r="A8" s="4"/>
      <c r="B8" s="4"/>
      <c r="C8" s="4"/>
      <c r="D8" s="5"/>
      <c r="E8" s="4"/>
      <c r="F8" s="5"/>
      <c r="G8" s="4"/>
      <c r="H8" s="4"/>
      <c r="I8" s="4"/>
      <c r="J8" s="5"/>
      <c r="K8" s="4"/>
      <c r="L8" s="4"/>
    </row>
    <row r="9" customFormat="false" ht="15" hidden="false" customHeight="false" outlineLevel="0" collapsed="false">
      <c r="A9" s="4"/>
      <c r="B9" s="4"/>
      <c r="C9" s="4"/>
      <c r="D9" s="5"/>
      <c r="E9" s="4"/>
      <c r="F9" s="5"/>
      <c r="G9" s="4"/>
      <c r="H9" s="4"/>
      <c r="I9" s="4"/>
      <c r="J9" s="5"/>
      <c r="K9" s="4"/>
      <c r="L9" s="4"/>
    </row>
    <row r="10" customFormat="false" ht="15" hidden="false" customHeight="false" outlineLevel="0" collapsed="false">
      <c r="A10" s="4"/>
      <c r="B10" s="4"/>
      <c r="C10" s="4"/>
      <c r="D10" s="5"/>
      <c r="E10" s="4"/>
      <c r="F10" s="5"/>
      <c r="G10" s="4"/>
      <c r="H10" s="4"/>
      <c r="I10" s="4"/>
      <c r="J10" s="5"/>
      <c r="K10" s="4"/>
      <c r="L10" s="4"/>
    </row>
    <row r="11" customFormat="false" ht="15" hidden="false" customHeight="false" outlineLevel="0" collapsed="false">
      <c r="A11" s="4"/>
      <c r="B11" s="4"/>
      <c r="C11" s="4"/>
      <c r="D11" s="5"/>
      <c r="E11" s="4"/>
      <c r="F11" s="5"/>
      <c r="G11" s="4"/>
      <c r="H11" s="4"/>
      <c r="I11" s="4"/>
      <c r="J11" s="5"/>
      <c r="K11" s="4"/>
      <c r="L11" s="4"/>
    </row>
    <row r="12" customFormat="false" ht="15" hidden="false" customHeight="false" outlineLevel="0" collapsed="false">
      <c r="A12" s="4"/>
      <c r="B12" s="4"/>
      <c r="C12" s="4"/>
      <c r="D12" s="5"/>
      <c r="E12" s="4"/>
      <c r="F12" s="5"/>
      <c r="G12" s="4"/>
      <c r="H12" s="4"/>
      <c r="I12" s="4"/>
      <c r="J12" s="5"/>
      <c r="K12" s="4"/>
      <c r="L12" s="4"/>
    </row>
    <row r="13" customFormat="false" ht="15" hidden="false" customHeight="false" outlineLevel="0" collapsed="false">
      <c r="A13" s="4"/>
      <c r="B13" s="4"/>
      <c r="C13" s="4"/>
      <c r="D13" s="5"/>
      <c r="E13" s="4"/>
      <c r="F13" s="5"/>
      <c r="G13" s="4"/>
      <c r="H13" s="4"/>
      <c r="I13" s="4"/>
      <c r="J13" s="5"/>
      <c r="K13" s="4"/>
      <c r="L13" s="4"/>
    </row>
    <row r="14" customFormat="false" ht="15" hidden="false" customHeight="false" outlineLevel="0" collapsed="false">
      <c r="A14" s="4"/>
      <c r="B14" s="4"/>
      <c r="C14" s="4"/>
      <c r="D14" s="5"/>
      <c r="E14" s="4"/>
      <c r="F14" s="5"/>
      <c r="G14" s="4"/>
      <c r="H14" s="4"/>
      <c r="I14" s="4"/>
      <c r="J14" s="5"/>
      <c r="K14" s="4"/>
      <c r="L14" s="4"/>
    </row>
    <row r="15" customFormat="false" ht="15" hidden="false" customHeight="false" outlineLevel="0" collapsed="false">
      <c r="A15" s="4"/>
      <c r="B15" s="4"/>
      <c r="C15" s="4"/>
      <c r="D15" s="5"/>
      <c r="E15" s="4"/>
      <c r="F15" s="5"/>
      <c r="G15" s="4"/>
      <c r="H15" s="4"/>
      <c r="I15" s="4"/>
      <c r="J15" s="5"/>
      <c r="K15" s="4"/>
      <c r="L15" s="4"/>
    </row>
    <row r="16" customFormat="false" ht="15" hidden="false" customHeight="false" outlineLevel="0" collapsed="false">
      <c r="A16" s="4"/>
      <c r="B16" s="4"/>
      <c r="C16" s="4"/>
      <c r="D16" s="5"/>
      <c r="E16" s="4"/>
      <c r="F16" s="5"/>
      <c r="G16" s="4"/>
      <c r="H16" s="4"/>
      <c r="I16" s="4"/>
      <c r="J16" s="5"/>
      <c r="K16" s="4"/>
      <c r="L16" s="4"/>
    </row>
    <row r="17" customFormat="false" ht="15" hidden="false" customHeight="false" outlineLevel="0" collapsed="false">
      <c r="A17" s="4"/>
      <c r="B17" s="4"/>
      <c r="C17" s="4"/>
      <c r="D17" s="5"/>
      <c r="E17" s="4"/>
      <c r="F17" s="5"/>
      <c r="G17" s="4"/>
      <c r="H17" s="4"/>
      <c r="I17" s="4"/>
      <c r="J17" s="5"/>
      <c r="K17" s="4"/>
      <c r="L17" s="4"/>
    </row>
    <row r="18" customFormat="false" ht="15" hidden="false" customHeight="false" outlineLevel="0" collapsed="false">
      <c r="A18" s="4"/>
      <c r="B18" s="4"/>
      <c r="C18" s="4"/>
      <c r="D18" s="5"/>
      <c r="E18" s="4"/>
      <c r="F18" s="5"/>
      <c r="G18" s="4"/>
      <c r="H18" s="4"/>
      <c r="I18" s="4"/>
      <c r="J18" s="5"/>
      <c r="K18" s="4"/>
      <c r="L18" s="4"/>
    </row>
    <row r="19" customFormat="false" ht="15" hidden="false" customHeight="false" outlineLevel="0" collapsed="false">
      <c r="A19" s="4"/>
      <c r="B19" s="4"/>
      <c r="C19" s="4"/>
      <c r="D19" s="5"/>
      <c r="E19" s="4"/>
      <c r="F19" s="5"/>
      <c r="G19" s="4"/>
      <c r="H19" s="4"/>
      <c r="I19" s="4"/>
      <c r="J19" s="5"/>
      <c r="K19" s="4"/>
      <c r="L19" s="4"/>
    </row>
    <row r="20" customFormat="false" ht="15" hidden="false" customHeight="false" outlineLevel="0" collapsed="false">
      <c r="A20" s="4"/>
      <c r="B20" s="4"/>
      <c r="C20" s="4"/>
      <c r="D20" s="5"/>
      <c r="E20" s="4"/>
      <c r="F20" s="5"/>
      <c r="G20" s="4"/>
      <c r="H20" s="4"/>
      <c r="I20" s="4"/>
      <c r="J20" s="5"/>
      <c r="K20" s="4"/>
      <c r="L20" s="4"/>
    </row>
    <row r="21" customFormat="false" ht="15" hidden="false" customHeight="false" outlineLevel="0" collapsed="false">
      <c r="A21" s="4"/>
      <c r="B21" s="4"/>
      <c r="C21" s="4"/>
      <c r="D21" s="5"/>
      <c r="E21" s="4"/>
      <c r="F21" s="5"/>
      <c r="G21" s="4"/>
      <c r="H21" s="4"/>
      <c r="I21" s="4"/>
      <c r="J21" s="5"/>
      <c r="K21" s="4"/>
      <c r="L21" s="4"/>
    </row>
    <row r="22" customFormat="false" ht="15" hidden="false" customHeight="false" outlineLevel="0" collapsed="false">
      <c r="A22" s="4"/>
      <c r="B22" s="4"/>
      <c r="C22" s="4"/>
      <c r="D22" s="5"/>
      <c r="E22" s="4"/>
      <c r="F22" s="5"/>
      <c r="G22" s="4"/>
      <c r="H22" s="4"/>
      <c r="I22" s="4"/>
      <c r="J22" s="5"/>
      <c r="K22" s="4"/>
      <c r="L22" s="4"/>
    </row>
    <row r="23" customFormat="false" ht="15" hidden="false" customHeight="false" outlineLevel="0" collapsed="false">
      <c r="A23" s="4"/>
      <c r="B23" s="4"/>
      <c r="C23" s="4"/>
      <c r="D23" s="5"/>
      <c r="E23" s="4"/>
      <c r="F23" s="5"/>
      <c r="G23" s="4"/>
      <c r="H23" s="4"/>
      <c r="I23" s="4"/>
      <c r="J23" s="5"/>
      <c r="K23" s="4"/>
      <c r="L23" s="4"/>
    </row>
    <row r="24" customFormat="false" ht="15" hidden="false" customHeight="false" outlineLevel="0" collapsed="false">
      <c r="A24" s="4"/>
      <c r="B24" s="4"/>
      <c r="C24" s="4"/>
      <c r="D24" s="5"/>
      <c r="E24" s="4"/>
      <c r="F24" s="5"/>
      <c r="G24" s="4"/>
      <c r="H24" s="4"/>
      <c r="I24" s="4"/>
      <c r="J24" s="5"/>
      <c r="K24" s="4"/>
      <c r="L24" s="4"/>
    </row>
    <row r="25" customFormat="false" ht="15" hidden="false" customHeight="false" outlineLevel="0" collapsed="false">
      <c r="A25" s="4"/>
      <c r="B25" s="4"/>
      <c r="C25" s="4"/>
      <c r="D25" s="5"/>
      <c r="E25" s="4"/>
      <c r="F25" s="5"/>
      <c r="G25" s="4"/>
      <c r="H25" s="4"/>
      <c r="I25" s="4"/>
      <c r="J25" s="5"/>
      <c r="K25" s="4"/>
      <c r="L25" s="4"/>
    </row>
    <row r="26" customFormat="false" ht="15" hidden="false" customHeight="false" outlineLevel="0" collapsed="false">
      <c r="A26" s="4"/>
      <c r="B26" s="4"/>
      <c r="C26" s="4"/>
      <c r="D26" s="5"/>
      <c r="E26" s="4"/>
      <c r="F26" s="5"/>
      <c r="G26" s="4"/>
      <c r="H26" s="4"/>
      <c r="I26" s="4"/>
      <c r="J26" s="5"/>
      <c r="K26" s="4"/>
      <c r="L26" s="4"/>
    </row>
    <row r="27" customFormat="false" ht="15" hidden="false" customHeight="false" outlineLevel="0" collapsed="false">
      <c r="A27" s="4"/>
      <c r="B27" s="4"/>
      <c r="C27" s="4"/>
      <c r="D27" s="5"/>
      <c r="E27" s="4"/>
      <c r="F27" s="5"/>
      <c r="G27" s="4"/>
      <c r="H27" s="4"/>
      <c r="I27" s="4"/>
      <c r="J27" s="5"/>
      <c r="K27" s="4"/>
      <c r="L27" s="4"/>
    </row>
    <row r="28" customFormat="false" ht="15" hidden="false" customHeight="false" outlineLevel="0" collapsed="false">
      <c r="A28" s="4"/>
      <c r="B28" s="4"/>
      <c r="C28" s="4"/>
      <c r="D28" s="5"/>
      <c r="E28" s="4"/>
      <c r="F28" s="5"/>
      <c r="G28" s="4"/>
      <c r="H28" s="4"/>
      <c r="I28" s="4"/>
      <c r="J28" s="5"/>
      <c r="K28" s="4"/>
      <c r="L28" s="4"/>
    </row>
    <row r="29" customFormat="false" ht="15" hidden="false" customHeight="false" outlineLevel="0" collapsed="false">
      <c r="A29" s="4"/>
      <c r="B29" s="4"/>
      <c r="C29" s="4"/>
      <c r="D29" s="5"/>
      <c r="E29" s="4"/>
      <c r="F29" s="5"/>
      <c r="G29" s="4"/>
      <c r="H29" s="4"/>
      <c r="I29" s="4"/>
      <c r="J29" s="5"/>
      <c r="K29" s="4"/>
      <c r="L29" s="4"/>
    </row>
    <row r="30" customFormat="false" ht="15" hidden="false" customHeight="false" outlineLevel="0" collapsed="false">
      <c r="A30" s="4"/>
      <c r="B30" s="4"/>
      <c r="C30" s="4"/>
      <c r="D30" s="5"/>
      <c r="E30" s="4"/>
      <c r="F30" s="5"/>
      <c r="G30" s="4"/>
      <c r="H30" s="4"/>
      <c r="I30" s="4"/>
      <c r="J30" s="5"/>
      <c r="K30" s="4"/>
      <c r="L30" s="4"/>
    </row>
    <row r="31" customFormat="false" ht="15" hidden="false" customHeight="false" outlineLevel="0" collapsed="false">
      <c r="A31" s="4"/>
      <c r="B31" s="4"/>
      <c r="C31" s="4"/>
      <c r="D31" s="5"/>
      <c r="E31" s="4"/>
      <c r="F31" s="5"/>
      <c r="G31" s="4"/>
      <c r="H31" s="4"/>
      <c r="I31" s="4"/>
      <c r="J31" s="5"/>
      <c r="K31" s="4"/>
      <c r="L31" s="4"/>
    </row>
    <row r="32" customFormat="false" ht="15" hidden="false" customHeight="false" outlineLevel="0" collapsed="false">
      <c r="A32" s="4"/>
      <c r="B32" s="4"/>
      <c r="C32" s="4"/>
      <c r="D32" s="5"/>
      <c r="E32" s="4"/>
      <c r="F32" s="5"/>
      <c r="G32" s="4"/>
      <c r="H32" s="4"/>
      <c r="I32" s="4"/>
      <c r="J32" s="5"/>
      <c r="K32" s="4"/>
      <c r="L32" s="4"/>
    </row>
    <row r="33" customFormat="false" ht="15" hidden="false" customHeight="false" outlineLevel="0" collapsed="false">
      <c r="A33" s="4"/>
      <c r="B33" s="4"/>
      <c r="C33" s="4"/>
      <c r="D33" s="5"/>
      <c r="E33" s="4"/>
      <c r="F33" s="5"/>
      <c r="G33" s="4"/>
      <c r="H33" s="4"/>
      <c r="I33" s="4"/>
      <c r="J33" s="5"/>
      <c r="K33" s="4"/>
      <c r="L33" s="4"/>
    </row>
    <row r="34" customFormat="false" ht="15" hidden="false" customHeight="false" outlineLevel="0" collapsed="false">
      <c r="A34" s="4"/>
      <c r="B34" s="4"/>
      <c r="C34" s="4"/>
      <c r="D34" s="5"/>
      <c r="E34" s="4"/>
      <c r="F34" s="5"/>
      <c r="G34" s="4"/>
      <c r="H34" s="4"/>
      <c r="I34" s="4"/>
      <c r="J34" s="5"/>
      <c r="K34" s="4"/>
      <c r="L34" s="4"/>
    </row>
    <row r="35" customFormat="false" ht="15" hidden="false" customHeight="false" outlineLevel="0" collapsed="false">
      <c r="A35" s="4"/>
      <c r="B35" s="4"/>
      <c r="C35" s="4"/>
      <c r="D35" s="5"/>
      <c r="E35" s="4"/>
      <c r="F35" s="5"/>
      <c r="G35" s="4"/>
      <c r="H35" s="4"/>
      <c r="I35" s="4"/>
      <c r="J35" s="5"/>
      <c r="K35" s="4"/>
      <c r="L35" s="4"/>
    </row>
    <row r="36" customFormat="false" ht="15" hidden="false" customHeight="false" outlineLevel="0" collapsed="false">
      <c r="A36" s="4"/>
      <c r="B36" s="4"/>
      <c r="C36" s="4"/>
      <c r="D36" s="5"/>
      <c r="E36" s="4"/>
      <c r="F36" s="5"/>
      <c r="G36" s="4"/>
      <c r="H36" s="4"/>
      <c r="I36" s="4"/>
      <c r="J36" s="5"/>
      <c r="K36" s="4"/>
      <c r="L36" s="4"/>
    </row>
    <row r="37" customFormat="false" ht="15" hidden="false" customHeight="false" outlineLevel="0" collapsed="false">
      <c r="A37" s="4"/>
      <c r="B37" s="4"/>
      <c r="C37" s="4"/>
      <c r="D37" s="5"/>
      <c r="E37" s="4"/>
      <c r="F37" s="5"/>
      <c r="G37" s="4"/>
      <c r="H37" s="4"/>
      <c r="I37" s="4"/>
      <c r="J37" s="5"/>
      <c r="K37" s="4"/>
      <c r="L37" s="4"/>
    </row>
    <row r="38" customFormat="false" ht="15" hidden="false" customHeight="false" outlineLevel="0" collapsed="false">
      <c r="A38" s="4"/>
      <c r="B38" s="4"/>
      <c r="C38" s="4"/>
      <c r="D38" s="5"/>
      <c r="E38" s="4"/>
      <c r="F38" s="5"/>
      <c r="G38" s="4"/>
      <c r="H38" s="4"/>
      <c r="I38" s="4"/>
      <c r="J38" s="5"/>
      <c r="K38" s="4"/>
      <c r="L38" s="4"/>
    </row>
    <row r="39" customFormat="false" ht="15" hidden="false" customHeight="false" outlineLevel="0" collapsed="false">
      <c r="A39" s="4"/>
      <c r="B39" s="4"/>
      <c r="C39" s="4"/>
      <c r="D39" s="5"/>
      <c r="E39" s="4"/>
      <c r="F39" s="5"/>
      <c r="G39" s="4"/>
      <c r="H39" s="4"/>
      <c r="I39" s="4"/>
      <c r="J39" s="5"/>
      <c r="K39" s="4"/>
      <c r="L39" s="4"/>
    </row>
    <row r="40" customFormat="false" ht="15" hidden="false" customHeight="false" outlineLevel="0" collapsed="false">
      <c r="A40" s="4"/>
      <c r="B40" s="4"/>
      <c r="C40" s="4"/>
      <c r="D40" s="5"/>
      <c r="E40" s="4"/>
      <c r="F40" s="5"/>
      <c r="G40" s="4"/>
      <c r="H40" s="4"/>
      <c r="I40" s="4"/>
      <c r="J40" s="5"/>
      <c r="K40" s="4"/>
      <c r="L40" s="4"/>
    </row>
    <row r="41" customFormat="false" ht="15" hidden="false" customHeight="false" outlineLevel="0" collapsed="false">
      <c r="A41" s="4"/>
      <c r="B41" s="4"/>
      <c r="C41" s="4"/>
      <c r="D41" s="5"/>
      <c r="E41" s="4"/>
      <c r="F41" s="5"/>
      <c r="G41" s="4"/>
      <c r="H41" s="4"/>
      <c r="I41" s="4"/>
      <c r="J41" s="5"/>
      <c r="K41" s="4"/>
      <c r="L41" s="4"/>
    </row>
    <row r="42" customFormat="false" ht="15" hidden="false" customHeight="false" outlineLevel="0" collapsed="false">
      <c r="A42" s="4"/>
      <c r="B42" s="4"/>
      <c r="C42" s="4"/>
      <c r="D42" s="5"/>
      <c r="E42" s="4"/>
      <c r="F42" s="5"/>
      <c r="G42" s="4"/>
      <c r="H42" s="4"/>
      <c r="I42" s="4"/>
      <c r="J42" s="5"/>
      <c r="K42" s="4"/>
      <c r="L42" s="4"/>
    </row>
    <row r="43" customFormat="false" ht="15" hidden="false" customHeight="false" outlineLevel="0" collapsed="false">
      <c r="A43" s="4"/>
      <c r="B43" s="4"/>
      <c r="C43" s="4"/>
      <c r="D43" s="5"/>
      <c r="E43" s="4"/>
      <c r="F43" s="5"/>
      <c r="G43" s="4"/>
      <c r="H43" s="4"/>
      <c r="I43" s="4"/>
      <c r="J43" s="5"/>
      <c r="K43" s="4"/>
      <c r="L43" s="4"/>
    </row>
    <row r="44" customFormat="false" ht="15" hidden="false" customHeight="false" outlineLevel="0" collapsed="false">
      <c r="A44" s="4"/>
      <c r="B44" s="4"/>
      <c r="C44" s="4"/>
      <c r="D44" s="5"/>
      <c r="E44" s="4"/>
      <c r="F44" s="5"/>
      <c r="G44" s="4"/>
      <c r="H44" s="4"/>
      <c r="I44" s="4"/>
      <c r="J44" s="5"/>
      <c r="K44" s="4"/>
      <c r="L44" s="4"/>
    </row>
    <row r="45" customFormat="false" ht="15" hidden="false" customHeight="false" outlineLevel="0" collapsed="false">
      <c r="A45" s="4"/>
      <c r="B45" s="4"/>
      <c r="C45" s="4"/>
      <c r="D45" s="5"/>
      <c r="E45" s="4"/>
      <c r="F45" s="5"/>
      <c r="G45" s="4"/>
      <c r="H45" s="4"/>
      <c r="I45" s="4"/>
      <c r="J45" s="5"/>
      <c r="K45" s="4"/>
      <c r="L45" s="4"/>
    </row>
    <row r="46" customFormat="false" ht="15" hidden="false" customHeight="false" outlineLevel="0" collapsed="false">
      <c r="A46" s="4"/>
      <c r="B46" s="4"/>
      <c r="C46" s="4"/>
      <c r="D46" s="5"/>
      <c r="E46" s="4"/>
      <c r="F46" s="5"/>
      <c r="G46" s="4"/>
      <c r="H46" s="4"/>
      <c r="I46" s="4"/>
      <c r="J46" s="5"/>
      <c r="K46" s="4"/>
      <c r="L46" s="4"/>
    </row>
    <row r="47" customFormat="false" ht="15" hidden="false" customHeight="false" outlineLevel="0" collapsed="false">
      <c r="A47" s="4"/>
      <c r="B47" s="4"/>
      <c r="C47" s="4"/>
      <c r="D47" s="5"/>
      <c r="E47" s="4"/>
      <c r="F47" s="5"/>
      <c r="G47" s="4"/>
      <c r="H47" s="4"/>
      <c r="I47" s="4"/>
      <c r="J47" s="5"/>
      <c r="K47" s="4"/>
      <c r="L47" s="4"/>
    </row>
    <row r="48" customFormat="false" ht="15" hidden="false" customHeight="false" outlineLevel="0" collapsed="false">
      <c r="A48" s="4"/>
      <c r="B48" s="4"/>
      <c r="C48" s="4"/>
      <c r="D48" s="5"/>
      <c r="E48" s="4"/>
      <c r="F48" s="5"/>
      <c r="G48" s="4"/>
      <c r="H48" s="4"/>
      <c r="I48" s="4"/>
      <c r="J48" s="5"/>
      <c r="K48" s="4"/>
      <c r="L48" s="4"/>
    </row>
    <row r="49" customFormat="false" ht="15" hidden="false" customHeight="false" outlineLevel="0" collapsed="false">
      <c r="A49" s="4"/>
      <c r="B49" s="4"/>
      <c r="C49" s="4"/>
      <c r="D49" s="5"/>
      <c r="E49" s="4"/>
      <c r="F49" s="5"/>
      <c r="G49" s="4"/>
      <c r="H49" s="4"/>
      <c r="I49" s="4"/>
      <c r="J49" s="5"/>
      <c r="K49" s="4"/>
      <c r="L49" s="4"/>
    </row>
    <row r="50" customFormat="false" ht="15" hidden="false" customHeight="false" outlineLevel="0" collapsed="false">
      <c r="A50" s="4"/>
      <c r="B50" s="4"/>
      <c r="C50" s="4"/>
      <c r="D50" s="5"/>
      <c r="E50" s="4"/>
      <c r="F50" s="5"/>
      <c r="G50" s="4"/>
      <c r="H50" s="4"/>
      <c r="I50" s="4"/>
      <c r="J50" s="5"/>
      <c r="K50" s="4"/>
      <c r="L50" s="4"/>
    </row>
    <row r="51" customFormat="false" ht="15" hidden="false" customHeight="false" outlineLevel="0" collapsed="false">
      <c r="A51" s="4"/>
      <c r="B51" s="4"/>
      <c r="C51" s="4"/>
      <c r="D51" s="5"/>
      <c r="E51" s="4"/>
      <c r="F51" s="5"/>
      <c r="G51" s="4"/>
      <c r="H51" s="4"/>
      <c r="I51" s="4"/>
      <c r="J51" s="5"/>
      <c r="K51" s="4"/>
      <c r="L51" s="4"/>
    </row>
    <row r="52" customFormat="false" ht="15" hidden="false" customHeight="false" outlineLevel="0" collapsed="false">
      <c r="A52" s="4"/>
      <c r="B52" s="4"/>
      <c r="C52" s="4"/>
      <c r="D52" s="5"/>
      <c r="E52" s="4"/>
      <c r="F52" s="5"/>
      <c r="G52" s="4"/>
      <c r="H52" s="4"/>
      <c r="I52" s="4"/>
      <c r="J52" s="5"/>
      <c r="K52" s="4"/>
      <c r="L52" s="4"/>
    </row>
    <row r="53" customFormat="false" ht="15" hidden="false" customHeight="false" outlineLevel="0" collapsed="false">
      <c r="A53" s="4"/>
      <c r="B53" s="4"/>
      <c r="C53" s="4"/>
      <c r="D53" s="5"/>
      <c r="E53" s="4"/>
      <c r="F53" s="5"/>
      <c r="G53" s="4"/>
      <c r="H53" s="4"/>
      <c r="I53" s="4"/>
      <c r="J53" s="5"/>
      <c r="K53" s="4"/>
      <c r="L53" s="4"/>
    </row>
    <row r="54" customFormat="false" ht="15" hidden="false" customHeight="false" outlineLevel="0" collapsed="false">
      <c r="A54" s="4"/>
      <c r="B54" s="4"/>
      <c r="C54" s="4"/>
      <c r="D54" s="5"/>
      <c r="E54" s="4"/>
      <c r="F54" s="5"/>
      <c r="G54" s="4"/>
      <c r="H54" s="4"/>
      <c r="I54" s="4"/>
      <c r="J54" s="5"/>
      <c r="K54" s="4"/>
      <c r="L54" s="4"/>
    </row>
    <row r="55" customFormat="false" ht="15" hidden="false" customHeight="false" outlineLevel="0" collapsed="false">
      <c r="A55" s="4"/>
      <c r="B55" s="4"/>
      <c r="C55" s="4"/>
      <c r="D55" s="5"/>
      <c r="E55" s="4"/>
      <c r="F55" s="5"/>
      <c r="G55" s="4"/>
      <c r="H55" s="4"/>
      <c r="I55" s="4"/>
      <c r="J55" s="5"/>
      <c r="K55" s="4"/>
      <c r="L55" s="4"/>
    </row>
    <row r="56" customFormat="false" ht="15" hidden="false" customHeight="false" outlineLevel="0" collapsed="false">
      <c r="A56" s="4"/>
      <c r="B56" s="4"/>
      <c r="C56" s="4"/>
      <c r="D56" s="5"/>
      <c r="E56" s="4"/>
      <c r="F56" s="5"/>
      <c r="G56" s="4"/>
      <c r="H56" s="4"/>
      <c r="I56" s="4"/>
      <c r="J56" s="5"/>
      <c r="K56" s="4"/>
      <c r="L56" s="4"/>
    </row>
    <row r="57" customFormat="false" ht="15" hidden="false" customHeight="false" outlineLevel="0" collapsed="false">
      <c r="A57" s="4"/>
      <c r="B57" s="4"/>
      <c r="C57" s="4"/>
      <c r="D57" s="5"/>
      <c r="E57" s="4"/>
      <c r="F57" s="5"/>
      <c r="G57" s="4"/>
      <c r="H57" s="4"/>
      <c r="I57" s="4"/>
      <c r="J57" s="5"/>
      <c r="K57" s="4"/>
      <c r="L57" s="4"/>
    </row>
    <row r="58" customFormat="false" ht="15" hidden="false" customHeight="false" outlineLevel="0" collapsed="false">
      <c r="A58" s="4"/>
      <c r="B58" s="4"/>
      <c r="C58" s="4"/>
      <c r="D58" s="5"/>
      <c r="E58" s="4"/>
      <c r="F58" s="5"/>
      <c r="G58" s="4"/>
      <c r="H58" s="4"/>
      <c r="I58" s="4"/>
      <c r="J58" s="5"/>
      <c r="K58" s="4"/>
      <c r="L58" s="4"/>
    </row>
    <row r="59" customFormat="false" ht="15" hidden="false" customHeight="false" outlineLevel="0" collapsed="false">
      <c r="A59" s="4"/>
      <c r="B59" s="4"/>
      <c r="C59" s="4"/>
      <c r="D59" s="5"/>
      <c r="E59" s="4"/>
      <c r="F59" s="5"/>
      <c r="G59" s="4"/>
      <c r="H59" s="4"/>
      <c r="I59" s="4"/>
      <c r="J59" s="5"/>
      <c r="K59" s="4"/>
      <c r="L59" s="4"/>
    </row>
  </sheetData>
  <mergeCells count="2">
    <mergeCell ref="A1:L1"/>
    <mergeCell ref="A2:L2"/>
  </mergeCells>
  <dataValidations count="2">
    <dataValidation allowBlank="true" errorStyle="stop" operator="between" showDropDown="false" showErrorMessage="false" showInputMessage="false" sqref="E5:E59" type="list">
      <formula1>"Por postular,Aplicado,En proceso,Entrevista,Oferta recibida,Rechazado,Sin respuesta,Descartado por mí"</formula1>
      <formula2>0</formula2>
    </dataValidation>
    <dataValidation allowBlank="true" errorStyle="stop" operator="between" showDropDown="false" showErrorMessage="false" showInputMessage="false" sqref="K5:K59" type="list">
      <formula1>"Sin respuesta del reclutador,Búsqueda cerrada / pausada por la empresa,Requisito de experiencia no cumplido,Habilidad técnica faltante,Expectativa salarial no acorde,Otro candidato seleccionado,Entrevista no fue bien,No pasó el filtro CV / ATS,Proceso muy"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30"/>
    <col collapsed="false" customWidth="true" hidden="false" outlineLevel="0" max="3" min="3" style="0" width="24"/>
    <col collapsed="false" customWidth="true" hidden="false" outlineLevel="0" max="4" min="4" style="0" width="16"/>
    <col collapsed="false" customWidth="true" hidden="false" outlineLevel="0" max="5" min="5" style="0" width="46"/>
  </cols>
  <sheetData>
    <row r="1" customFormat="false" ht="17.35" hidden="false" customHeight="false" outlineLevel="0" collapsed="false">
      <c r="A1" s="1" t="s">
        <v>23</v>
      </c>
      <c r="B1" s="1"/>
      <c r="C1" s="1"/>
      <c r="D1" s="1"/>
      <c r="E1" s="1"/>
    </row>
    <row r="2" customFormat="false" ht="15" hidden="false" customHeight="false" outlineLevel="0" collapsed="false">
      <c r="A2" s="2" t="s">
        <v>24</v>
      </c>
      <c r="B2" s="2"/>
      <c r="C2" s="2"/>
      <c r="D2" s="2"/>
      <c r="E2" s="2"/>
    </row>
    <row r="4" customFormat="false" ht="15" hidden="false" customHeight="false" outlineLevel="0" collapsed="false">
      <c r="A4" s="3" t="s">
        <v>25</v>
      </c>
      <c r="B4" s="3" t="s">
        <v>26</v>
      </c>
      <c r="C4" s="3" t="s">
        <v>27</v>
      </c>
      <c r="D4" s="3" t="s">
        <v>28</v>
      </c>
      <c r="E4" s="3" t="s">
        <v>29</v>
      </c>
    </row>
    <row r="5" customFormat="false" ht="15" hidden="false" customHeight="false" outlineLevel="0" collapsed="false">
      <c r="A5" s="4" t="s">
        <v>16</v>
      </c>
      <c r="B5" s="4" t="s">
        <v>30</v>
      </c>
      <c r="C5" s="4" t="s">
        <v>31</v>
      </c>
      <c r="D5" s="4" t="s">
        <v>32</v>
      </c>
      <c r="E5" s="4" t="s">
        <v>33</v>
      </c>
    </row>
    <row r="6" customFormat="false" ht="15" hidden="false" customHeight="false" outlineLevel="0" collapsed="false">
      <c r="A6" s="4" t="s">
        <v>34</v>
      </c>
      <c r="B6" s="4" t="s">
        <v>35</v>
      </c>
      <c r="C6" s="4" t="s">
        <v>36</v>
      </c>
      <c r="D6" s="4" t="s">
        <v>32</v>
      </c>
      <c r="E6" s="4" t="s">
        <v>37</v>
      </c>
    </row>
    <row r="7" customFormat="false" ht="15" hidden="false" customHeight="false" outlineLevel="0" collapsed="false">
      <c r="A7" s="4"/>
      <c r="B7" s="4"/>
      <c r="C7" s="4"/>
      <c r="D7" s="4"/>
      <c r="E7" s="4"/>
    </row>
    <row r="8" customFormat="false" ht="15" hidden="false" customHeight="false" outlineLevel="0" collapsed="false">
      <c r="A8" s="4"/>
      <c r="B8" s="4"/>
      <c r="C8" s="4"/>
      <c r="D8" s="4"/>
      <c r="E8" s="4"/>
    </row>
    <row r="9" customFormat="false" ht="15" hidden="false" customHeight="false" outlineLevel="0" collapsed="false">
      <c r="A9" s="4"/>
      <c r="B9" s="4"/>
      <c r="C9" s="4"/>
      <c r="D9" s="4"/>
      <c r="E9" s="4"/>
    </row>
    <row r="10" customFormat="false" ht="15" hidden="false" customHeight="false" outlineLevel="0" collapsed="false">
      <c r="A10" s="4"/>
      <c r="B10" s="4"/>
      <c r="C10" s="4"/>
      <c r="D10" s="4"/>
      <c r="E10" s="4"/>
    </row>
    <row r="11" customFormat="false" ht="15" hidden="false" customHeight="false" outlineLevel="0" collapsed="false">
      <c r="A11" s="4"/>
      <c r="B11" s="4"/>
      <c r="C11" s="4"/>
      <c r="D11" s="4"/>
      <c r="E11" s="4"/>
    </row>
    <row r="12" customFormat="false" ht="15" hidden="false" customHeight="false" outlineLevel="0" collapsed="false">
      <c r="A12" s="4"/>
      <c r="B12" s="4"/>
      <c r="C12" s="4"/>
      <c r="D12" s="4"/>
      <c r="E12" s="4"/>
    </row>
    <row r="13" customFormat="false" ht="15" hidden="false" customHeight="false" outlineLevel="0" collapsed="false">
      <c r="A13" s="4"/>
      <c r="B13" s="4"/>
      <c r="C13" s="4"/>
      <c r="D13" s="4"/>
      <c r="E13" s="4"/>
    </row>
    <row r="14" customFormat="false" ht="15" hidden="false" customHeight="false" outlineLevel="0" collapsed="false">
      <c r="A14" s="4"/>
      <c r="B14" s="4"/>
      <c r="C14" s="4"/>
      <c r="D14" s="4"/>
      <c r="E14" s="4"/>
    </row>
    <row r="15" customFormat="false" ht="15" hidden="false" customHeight="false" outlineLevel="0" collapsed="false">
      <c r="A15" s="4"/>
      <c r="B15" s="4"/>
      <c r="C15" s="4"/>
      <c r="D15" s="4"/>
      <c r="E15" s="4"/>
    </row>
    <row r="16" customFormat="false" ht="15" hidden="false" customHeight="false" outlineLevel="0" collapsed="false">
      <c r="A16" s="4"/>
      <c r="B16" s="4"/>
      <c r="C16" s="4"/>
      <c r="D16" s="4"/>
      <c r="E16" s="4"/>
    </row>
    <row r="17" customFormat="false" ht="15" hidden="false" customHeight="false" outlineLevel="0" collapsed="false">
      <c r="A17" s="4"/>
      <c r="B17" s="4"/>
      <c r="C17" s="4"/>
      <c r="D17" s="4"/>
      <c r="E17" s="4"/>
    </row>
    <row r="18" customFormat="false" ht="15" hidden="false" customHeight="false" outlineLevel="0" collapsed="false">
      <c r="A18" s="4"/>
      <c r="B18" s="4"/>
      <c r="C18" s="4"/>
      <c r="D18" s="4"/>
      <c r="E18" s="4"/>
    </row>
    <row r="19" customFormat="false" ht="15" hidden="false" customHeight="false" outlineLevel="0" collapsed="false">
      <c r="A19" s="4"/>
      <c r="B19" s="4"/>
      <c r="C19" s="4"/>
      <c r="D19" s="4"/>
      <c r="E19" s="4"/>
    </row>
    <row r="20" customFormat="false" ht="15" hidden="false" customHeight="false" outlineLevel="0" collapsed="false">
      <c r="A20" s="4"/>
      <c r="B20" s="4"/>
      <c r="C20" s="4"/>
      <c r="D20" s="4"/>
      <c r="E20" s="4"/>
    </row>
    <row r="21" customFormat="false" ht="15" hidden="false" customHeight="false" outlineLevel="0" collapsed="false">
      <c r="A21" s="4"/>
      <c r="B21" s="4"/>
      <c r="C21" s="4"/>
      <c r="D21" s="4"/>
      <c r="E21" s="4"/>
    </row>
    <row r="22" customFormat="false" ht="15" hidden="false" customHeight="false" outlineLevel="0" collapsed="false">
      <c r="A22" s="4"/>
      <c r="B22" s="4"/>
      <c r="C22" s="4"/>
      <c r="D22" s="4"/>
      <c r="E22" s="4"/>
    </row>
    <row r="23" customFormat="false" ht="15" hidden="false" customHeight="false" outlineLevel="0" collapsed="false">
      <c r="A23" s="4"/>
      <c r="B23" s="4"/>
      <c r="C23" s="4"/>
      <c r="D23" s="4"/>
      <c r="E23" s="4"/>
    </row>
    <row r="24" customFormat="false" ht="15" hidden="false" customHeight="false" outlineLevel="0" collapsed="false">
      <c r="A24" s="4"/>
      <c r="B24" s="4"/>
      <c r="C24" s="4"/>
      <c r="D24" s="4"/>
      <c r="E24" s="4"/>
    </row>
    <row r="25" customFormat="false" ht="15" hidden="false" customHeight="false" outlineLevel="0" collapsed="false">
      <c r="A25" s="4"/>
      <c r="B25" s="4"/>
      <c r="C25" s="4"/>
      <c r="D25" s="4"/>
      <c r="E25" s="4"/>
    </row>
    <row r="26" customFormat="false" ht="15" hidden="false" customHeight="false" outlineLevel="0" collapsed="false">
      <c r="A26" s="4"/>
      <c r="B26" s="4"/>
      <c r="C26" s="4"/>
      <c r="D26" s="4"/>
      <c r="E26" s="4"/>
    </row>
    <row r="27" customFormat="false" ht="15" hidden="false" customHeight="false" outlineLevel="0" collapsed="false">
      <c r="A27" s="4"/>
      <c r="B27" s="4"/>
      <c r="C27" s="4"/>
      <c r="D27" s="4"/>
      <c r="E27" s="4"/>
    </row>
    <row r="28" customFormat="false" ht="15" hidden="false" customHeight="false" outlineLevel="0" collapsed="false">
      <c r="A28" s="4"/>
      <c r="B28" s="4"/>
      <c r="C28" s="4"/>
      <c r="D28" s="4"/>
      <c r="E28" s="4"/>
    </row>
    <row r="29" customFormat="false" ht="15" hidden="false" customHeight="false" outlineLevel="0" collapsed="false">
      <c r="A29" s="4"/>
      <c r="B29" s="4"/>
      <c r="C29" s="4"/>
      <c r="D29" s="4"/>
      <c r="E29" s="4"/>
    </row>
    <row r="30" customFormat="false" ht="15" hidden="false" customHeight="false" outlineLevel="0" collapsed="false">
      <c r="A30" s="4"/>
      <c r="B30" s="4"/>
      <c r="C30" s="4"/>
      <c r="D30" s="4"/>
      <c r="E30" s="4"/>
    </row>
    <row r="31" customFormat="false" ht="15" hidden="false" customHeight="false" outlineLevel="0" collapsed="false">
      <c r="A31" s="4"/>
      <c r="B31" s="4"/>
      <c r="C31" s="4"/>
      <c r="D31" s="4"/>
      <c r="E31" s="4"/>
    </row>
    <row r="32" customFormat="false" ht="15" hidden="false" customHeight="false" outlineLevel="0" collapsed="false">
      <c r="A32" s="4"/>
      <c r="B32" s="4"/>
      <c r="C32" s="4"/>
      <c r="D32" s="4"/>
      <c r="E32" s="4"/>
    </row>
    <row r="33" customFormat="false" ht="15" hidden="false" customHeight="false" outlineLevel="0" collapsed="false">
      <c r="A33" s="4"/>
      <c r="B33" s="4"/>
      <c r="C33" s="4"/>
      <c r="D33" s="4"/>
      <c r="E33" s="4"/>
    </row>
    <row r="34" customFormat="false" ht="15" hidden="false" customHeight="false" outlineLevel="0" collapsed="false">
      <c r="A34" s="4"/>
      <c r="B34" s="4"/>
      <c r="C34" s="4"/>
      <c r="D34" s="4"/>
      <c r="E34" s="4"/>
    </row>
    <row r="35" customFormat="false" ht="15" hidden="false" customHeight="false" outlineLevel="0" collapsed="false">
      <c r="A35" s="4"/>
      <c r="B35" s="4"/>
      <c r="C35" s="4"/>
      <c r="D35" s="4"/>
      <c r="E35" s="4"/>
    </row>
    <row r="36" customFormat="false" ht="15" hidden="false" customHeight="false" outlineLevel="0" collapsed="false">
      <c r="A36" s="4"/>
      <c r="B36" s="4"/>
      <c r="C36" s="4"/>
      <c r="D36" s="4"/>
      <c r="E36" s="4"/>
    </row>
    <row r="37" customFormat="false" ht="15" hidden="false" customHeight="false" outlineLevel="0" collapsed="false">
      <c r="A37" s="4"/>
      <c r="B37" s="4"/>
      <c r="C37" s="4"/>
      <c r="D37" s="4"/>
      <c r="E37" s="4"/>
    </row>
    <row r="38" customFormat="false" ht="15" hidden="false" customHeight="false" outlineLevel="0" collapsed="false">
      <c r="A38" s="4"/>
      <c r="B38" s="4"/>
      <c r="C38" s="4"/>
      <c r="D38" s="4"/>
      <c r="E38" s="4"/>
    </row>
    <row r="39" customFormat="false" ht="15" hidden="false" customHeight="false" outlineLevel="0" collapsed="false">
      <c r="A39" s="4"/>
      <c r="B39" s="4"/>
      <c r="C39" s="4"/>
      <c r="D39" s="4"/>
      <c r="E39" s="4"/>
    </row>
  </sheetData>
  <mergeCells count="2">
    <mergeCell ref="A1:E1"/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4"/>
    <col collapsed="false" customWidth="true" hidden="false" outlineLevel="0" max="4" min="3" style="0" width="16"/>
    <col collapsed="false" customWidth="true" hidden="false" outlineLevel="0" max="5" min="5" style="0" width="30"/>
  </cols>
  <sheetData>
    <row r="1" customFormat="false" ht="17.35" hidden="false" customHeight="false" outlineLevel="0" collapsed="false">
      <c r="A1" s="1" t="s">
        <v>38</v>
      </c>
      <c r="B1" s="1"/>
      <c r="C1" s="1"/>
      <c r="D1" s="1"/>
      <c r="E1" s="1"/>
    </row>
    <row r="2" customFormat="false" ht="15" hidden="false" customHeight="false" outlineLevel="0" collapsed="false">
      <c r="A2" s="2" t="s">
        <v>39</v>
      </c>
      <c r="B2" s="2"/>
      <c r="C2" s="2"/>
      <c r="D2" s="2"/>
      <c r="E2" s="2"/>
    </row>
    <row r="4" customFormat="false" ht="26.85" hidden="false" customHeight="false" outlineLevel="0" collapsed="false">
      <c r="A4" s="3" t="s">
        <v>40</v>
      </c>
      <c r="B4" s="3" t="s">
        <v>41</v>
      </c>
      <c r="C4" s="3" t="s">
        <v>6</v>
      </c>
      <c r="D4" s="3" t="s">
        <v>42</v>
      </c>
      <c r="E4" s="3" t="s">
        <v>13</v>
      </c>
    </row>
    <row r="5" customFormat="false" ht="15" hidden="false" customHeight="false" outlineLevel="0" collapsed="false">
      <c r="A5" s="4" t="s">
        <v>43</v>
      </c>
      <c r="B5" s="4" t="s">
        <v>44</v>
      </c>
      <c r="C5" s="4" t="s">
        <v>45</v>
      </c>
      <c r="D5" s="4" t="s">
        <v>46</v>
      </c>
      <c r="E5" s="4"/>
    </row>
    <row r="6" customFormat="false" ht="15" hidden="false" customHeight="false" outlineLevel="0" collapsed="false">
      <c r="A6" s="4" t="s">
        <v>47</v>
      </c>
      <c r="B6" s="4" t="s">
        <v>48</v>
      </c>
      <c r="C6" s="4" t="s">
        <v>49</v>
      </c>
      <c r="D6" s="4" t="s">
        <v>50</v>
      </c>
      <c r="E6" s="4"/>
    </row>
    <row r="7" customFormat="false" ht="15" hidden="false" customHeight="false" outlineLevel="0" collapsed="false">
      <c r="A7" s="4"/>
      <c r="B7" s="4"/>
      <c r="C7" s="4"/>
      <c r="D7" s="4"/>
      <c r="E7" s="4"/>
    </row>
    <row r="8" customFormat="false" ht="15" hidden="false" customHeight="false" outlineLevel="0" collapsed="false">
      <c r="A8" s="4"/>
      <c r="B8" s="4"/>
      <c r="C8" s="4"/>
      <c r="D8" s="4"/>
      <c r="E8" s="4"/>
    </row>
    <row r="9" customFormat="false" ht="15" hidden="false" customHeight="false" outlineLevel="0" collapsed="false">
      <c r="A9" s="4"/>
      <c r="B9" s="4"/>
      <c r="C9" s="4"/>
      <c r="D9" s="4"/>
      <c r="E9" s="4"/>
    </row>
    <row r="10" customFormat="false" ht="15" hidden="false" customHeight="false" outlineLevel="0" collapsed="false">
      <c r="A10" s="4"/>
      <c r="B10" s="4"/>
      <c r="C10" s="4"/>
      <c r="D10" s="4"/>
      <c r="E10" s="4"/>
    </row>
    <row r="11" customFormat="false" ht="15" hidden="false" customHeight="false" outlineLevel="0" collapsed="false">
      <c r="A11" s="4"/>
      <c r="B11" s="4"/>
      <c r="C11" s="4"/>
      <c r="D11" s="4"/>
      <c r="E11" s="4"/>
    </row>
    <row r="12" customFormat="false" ht="15" hidden="false" customHeight="false" outlineLevel="0" collapsed="false">
      <c r="A12" s="4"/>
      <c r="B12" s="4"/>
      <c r="C12" s="4"/>
      <c r="D12" s="4"/>
      <c r="E12" s="4"/>
    </row>
    <row r="13" customFormat="false" ht="15" hidden="false" customHeight="false" outlineLevel="0" collapsed="false">
      <c r="A13" s="4"/>
      <c r="B13" s="4"/>
      <c r="C13" s="4"/>
      <c r="D13" s="4"/>
      <c r="E13" s="4"/>
    </row>
    <row r="14" customFormat="false" ht="15" hidden="false" customHeight="false" outlineLevel="0" collapsed="false">
      <c r="A14" s="4"/>
      <c r="B14" s="4"/>
      <c r="C14" s="4"/>
      <c r="D14" s="4"/>
      <c r="E14" s="4"/>
    </row>
    <row r="15" customFormat="false" ht="15" hidden="false" customHeight="false" outlineLevel="0" collapsed="false">
      <c r="A15" s="4"/>
      <c r="B15" s="4"/>
      <c r="C15" s="4"/>
      <c r="D15" s="4"/>
      <c r="E15" s="4"/>
    </row>
    <row r="16" customFormat="false" ht="15" hidden="false" customHeight="false" outlineLevel="0" collapsed="false">
      <c r="A16" s="4"/>
      <c r="B16" s="4"/>
      <c r="C16" s="4"/>
      <c r="D16" s="4"/>
      <c r="E16" s="4"/>
    </row>
    <row r="17" customFormat="false" ht="15" hidden="false" customHeight="false" outlineLevel="0" collapsed="false">
      <c r="A17" s="4"/>
      <c r="B17" s="4"/>
      <c r="C17" s="4"/>
      <c r="D17" s="4"/>
      <c r="E17" s="4"/>
    </row>
    <row r="18" customFormat="false" ht="15" hidden="false" customHeight="false" outlineLevel="0" collapsed="false">
      <c r="A18" s="4"/>
      <c r="B18" s="4"/>
      <c r="C18" s="4"/>
      <c r="D18" s="4"/>
      <c r="E18" s="4"/>
    </row>
    <row r="19" customFormat="false" ht="15" hidden="false" customHeight="false" outlineLevel="0" collapsed="false">
      <c r="A19" s="4"/>
      <c r="B19" s="4"/>
      <c r="C19" s="4"/>
      <c r="D19" s="4"/>
      <c r="E19" s="4"/>
    </row>
    <row r="20" customFormat="false" ht="15" hidden="false" customHeight="false" outlineLevel="0" collapsed="false">
      <c r="A20" s="4"/>
      <c r="B20" s="4"/>
      <c r="C20" s="4"/>
      <c r="D20" s="4"/>
      <c r="E20" s="4"/>
    </row>
    <row r="21" customFormat="false" ht="15" hidden="false" customHeight="false" outlineLevel="0" collapsed="false">
      <c r="A21" s="4"/>
      <c r="B21" s="4"/>
      <c r="C21" s="4"/>
      <c r="D21" s="4"/>
      <c r="E21" s="4"/>
    </row>
    <row r="22" customFormat="false" ht="15" hidden="false" customHeight="false" outlineLevel="0" collapsed="false">
      <c r="A22" s="4"/>
      <c r="B22" s="4"/>
      <c r="C22" s="4"/>
      <c r="D22" s="4"/>
      <c r="E22" s="4"/>
    </row>
    <row r="23" customFormat="false" ht="15" hidden="false" customHeight="false" outlineLevel="0" collapsed="false">
      <c r="A23" s="4"/>
      <c r="B23" s="4"/>
      <c r="C23" s="4"/>
      <c r="D23" s="4"/>
      <c r="E23" s="4"/>
    </row>
    <row r="24" customFormat="false" ht="15" hidden="false" customHeight="false" outlineLevel="0" collapsed="false">
      <c r="A24" s="4"/>
      <c r="B24" s="4"/>
      <c r="C24" s="4"/>
      <c r="D24" s="4"/>
      <c r="E24" s="4"/>
    </row>
    <row r="25" customFormat="false" ht="15" hidden="false" customHeight="false" outlineLevel="0" collapsed="false">
      <c r="A25" s="4"/>
      <c r="B25" s="4"/>
      <c r="C25" s="4"/>
      <c r="D25" s="4"/>
      <c r="E25" s="4"/>
    </row>
    <row r="26" customFormat="false" ht="15" hidden="false" customHeight="false" outlineLevel="0" collapsed="false">
      <c r="A26" s="4"/>
      <c r="B26" s="4"/>
      <c r="C26" s="4"/>
      <c r="D26" s="4"/>
      <c r="E26" s="4"/>
    </row>
    <row r="27" customFormat="false" ht="15" hidden="false" customHeight="false" outlineLevel="0" collapsed="false">
      <c r="A27" s="4"/>
      <c r="B27" s="4"/>
      <c r="C27" s="4"/>
      <c r="D27" s="4"/>
      <c r="E27" s="4"/>
    </row>
    <row r="28" customFormat="false" ht="15" hidden="false" customHeight="false" outlineLevel="0" collapsed="false">
      <c r="A28" s="4"/>
      <c r="B28" s="4"/>
      <c r="C28" s="4"/>
      <c r="D28" s="4"/>
      <c r="E28" s="4"/>
    </row>
    <row r="29" customFormat="false" ht="15" hidden="false" customHeight="false" outlineLevel="0" collapsed="false">
      <c r="A29" s="4"/>
      <c r="B29" s="4"/>
      <c r="C29" s="4"/>
      <c r="D29" s="4"/>
      <c r="E29" s="4"/>
    </row>
  </sheetData>
  <mergeCells count="2">
    <mergeCell ref="A1:E1"/>
    <mergeCell ref="A2:E2"/>
  </mergeCells>
  <dataValidations count="1">
    <dataValidation allowBlank="true" errorStyle="stop" operator="between" showDropDown="false" showErrorMessage="false" showInputMessage="false" sqref="C5:C29" type="list">
      <formula1>"Por empezar,En curso,Completado,Pausado"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4"/>
  </cols>
  <sheetData>
    <row r="1" customFormat="false" ht="17.35" hidden="false" customHeight="false" outlineLevel="0" collapsed="false">
      <c r="A1" s="1" t="s">
        <v>51</v>
      </c>
      <c r="B1" s="1"/>
      <c r="C1" s="1"/>
    </row>
    <row r="2" customFormat="false" ht="15" hidden="false" customHeight="false" outlineLevel="0" collapsed="false">
      <c r="A2" s="2" t="s">
        <v>52</v>
      </c>
      <c r="B2" s="2"/>
      <c r="C2" s="2"/>
    </row>
    <row r="4" customFormat="false" ht="15" hidden="false" customHeight="false" outlineLevel="0" collapsed="false">
      <c r="A4" s="6" t="s">
        <v>53</v>
      </c>
      <c r="B4" s="6" t="s">
        <v>54</v>
      </c>
    </row>
    <row r="5" customFormat="false" ht="15" hidden="false" customHeight="false" outlineLevel="0" collapsed="false">
      <c r="A5" s="7" t="s">
        <v>55</v>
      </c>
      <c r="B5" s="8" t="n">
        <f aca="false">COUNTA(Postulaciones!A5:A59)-COUNTBLANK(Postulaciones!A5:A59)</f>
        <v>-53</v>
      </c>
    </row>
    <row r="6" customFormat="false" ht="15" hidden="false" customHeight="false" outlineLevel="0" collapsed="false">
      <c r="A6" s="7" t="s">
        <v>56</v>
      </c>
      <c r="B6" s="8" t="n">
        <f aca="false">COUNTIF(Postulaciones!E5:E59,"Aplicado")</f>
        <v>0</v>
      </c>
    </row>
    <row r="7" customFormat="false" ht="15" hidden="false" customHeight="false" outlineLevel="0" collapsed="false">
      <c r="A7" s="7" t="s">
        <v>57</v>
      </c>
      <c r="B7" s="8" t="n">
        <f aca="false">COUNTIF(Postulaciones!E5:E59,"En proceso")</f>
        <v>0</v>
      </c>
    </row>
    <row r="8" customFormat="false" ht="15" hidden="false" customHeight="false" outlineLevel="0" collapsed="false">
      <c r="A8" s="7" t="s">
        <v>58</v>
      </c>
      <c r="B8" s="8" t="n">
        <f aca="false">COUNTIF(Postulaciones!E5:E59,"Entrevista")</f>
        <v>0</v>
      </c>
    </row>
    <row r="9" customFormat="false" ht="15" hidden="false" customHeight="false" outlineLevel="0" collapsed="false">
      <c r="A9" s="7" t="s">
        <v>59</v>
      </c>
      <c r="B9" s="8" t="n">
        <f aca="false">COUNTIF(Postulaciones!E5:E59,"Oferta recibida")</f>
        <v>0</v>
      </c>
    </row>
    <row r="10" customFormat="false" ht="15" hidden="false" customHeight="false" outlineLevel="0" collapsed="false">
      <c r="A10" s="7" t="s">
        <v>17</v>
      </c>
      <c r="B10" s="8" t="n">
        <f aca="false">COUNTIF(Postulaciones!E5:E59,"Rechazado")</f>
        <v>1</v>
      </c>
    </row>
    <row r="11" customFormat="false" ht="15" hidden="false" customHeight="false" outlineLevel="0" collapsed="false">
      <c r="A11" s="7" t="s">
        <v>60</v>
      </c>
      <c r="B11" s="8" t="n">
        <f aca="false">COUNTIF(Postulaciones!E5:E59,"Sin respuesta")</f>
        <v>0</v>
      </c>
    </row>
    <row r="13" customFormat="false" ht="15" hidden="false" customHeight="false" outlineLevel="0" collapsed="false">
      <c r="A13" s="9" t="s">
        <v>61</v>
      </c>
      <c r="B13" s="10" t="n">
        <f aca="false">IFERROR((B8+B9)/B5,0)</f>
        <v>-0</v>
      </c>
    </row>
  </sheetData>
  <mergeCells count="2">
    <mergeCell ref="A1:C1"/>
    <mergeCell ref="A2:C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0"/>
    <col collapsed="false" customWidth="true" hidden="false" outlineLevel="0" max="4" min="3" style="0" width="16"/>
  </cols>
  <sheetData>
    <row r="1" customFormat="false" ht="17.35" hidden="false" customHeight="false" outlineLevel="0" collapsed="false">
      <c r="A1" s="1" t="s">
        <v>62</v>
      </c>
      <c r="B1" s="1"/>
      <c r="C1" s="1"/>
      <c r="D1" s="1"/>
    </row>
    <row r="2" customFormat="false" ht="15" hidden="false" customHeight="false" outlineLevel="0" collapsed="false">
      <c r="A2" s="2" t="s">
        <v>63</v>
      </c>
      <c r="B2" s="2"/>
      <c r="C2" s="2"/>
      <c r="D2" s="2"/>
    </row>
    <row r="4" customFormat="false" ht="15" hidden="false" customHeight="false" outlineLevel="0" collapsed="false">
      <c r="A4" s="11" t="s">
        <v>64</v>
      </c>
      <c r="B4" s="11" t="s">
        <v>65</v>
      </c>
    </row>
    <row r="5" customFormat="false" ht="15" hidden="false" customHeight="false" outlineLevel="0" collapsed="false">
      <c r="A5" s="7" t="s">
        <v>66</v>
      </c>
      <c r="B5" s="12" t="n">
        <f aca="false">IFERROR(B11/B5,0)</f>
        <v>0</v>
      </c>
    </row>
    <row r="6" customFormat="false" ht="15" hidden="false" customHeight="false" outlineLevel="0" collapsed="false">
      <c r="A6" s="7" t="s">
        <v>67</v>
      </c>
      <c r="B6" s="12" t="n">
        <f aca="false">IFERROR(1-B11/B5,0)</f>
        <v>0</v>
      </c>
    </row>
    <row r="7" customFormat="false" ht="15" hidden="false" customHeight="false" outlineLevel="0" collapsed="false">
      <c r="A7" s="7" t="s">
        <v>68</v>
      </c>
      <c r="B7" s="13" t="n">
        <f aca="false">IFERROR(SUMPRODUCT((Postulaciones!J5:J59&lt;&gt;"")*(Postulaciones!J5:J59-Postulaciones!D5:D59))/SUMPRODUCT((Postulaciones!J5:J59&lt;&gt;"")*1),"Sin datos aún")</f>
        <v>5</v>
      </c>
    </row>
    <row r="8" customFormat="false" ht="15" hidden="false" customHeight="false" outlineLevel="0" collapsed="false">
      <c r="A8" s="7" t="s">
        <v>69</v>
      </c>
      <c r="B8" s="12" t="n">
        <f aca="false">Dashboard!B13</f>
        <v>-0</v>
      </c>
    </row>
    <row r="10" customFormat="false" ht="15" hidden="false" customHeight="false" outlineLevel="0" collapsed="false">
      <c r="A10" s="14" t="s">
        <v>70</v>
      </c>
    </row>
    <row r="11" customFormat="false" ht="15" hidden="false" customHeight="false" outlineLevel="0" collapsed="false">
      <c r="A11" s="11" t="s">
        <v>71</v>
      </c>
      <c r="B11" s="11" t="s">
        <v>54</v>
      </c>
    </row>
    <row r="12" customFormat="false" ht="15" hidden="false" customHeight="false" outlineLevel="0" collapsed="false">
      <c r="A12" s="7" t="s">
        <v>72</v>
      </c>
      <c r="B12" s="8" t="n">
        <f aca="false">COUNTIF(Postulaciones!K5:K59,"Sin respuesta del reclutador")</f>
        <v>0</v>
      </c>
    </row>
    <row r="13" customFormat="false" ht="15" hidden="false" customHeight="false" outlineLevel="0" collapsed="false">
      <c r="A13" s="7" t="s">
        <v>73</v>
      </c>
      <c r="B13" s="8" t="n">
        <f aca="false">COUNTIF(Postulaciones!K5:K59,"Búsqueda cerrada / pausada por la empresa")</f>
        <v>0</v>
      </c>
    </row>
    <row r="14" customFormat="false" ht="15" hidden="false" customHeight="false" outlineLevel="0" collapsed="false">
      <c r="A14" s="7" t="s">
        <v>74</v>
      </c>
      <c r="B14" s="8" t="n">
        <f aca="false">COUNTIF(Postulaciones!K5:K59,"Requisito de experiencia no cumplido")</f>
        <v>0</v>
      </c>
    </row>
    <row r="15" customFormat="false" ht="15" hidden="false" customHeight="false" outlineLevel="0" collapsed="false">
      <c r="A15" s="7" t="s">
        <v>21</v>
      </c>
      <c r="B15" s="8" t="n">
        <f aca="false">COUNTIF(Postulaciones!K5:K59,"Habilidad técnica faltante")</f>
        <v>1</v>
      </c>
    </row>
    <row r="16" customFormat="false" ht="15" hidden="false" customHeight="false" outlineLevel="0" collapsed="false">
      <c r="A16" s="7" t="s">
        <v>75</v>
      </c>
      <c r="B16" s="8" t="n">
        <f aca="false">COUNTIF(Postulaciones!K5:K59,"Expectativa salarial no acorde")</f>
        <v>0</v>
      </c>
    </row>
    <row r="17" customFormat="false" ht="15" hidden="false" customHeight="false" outlineLevel="0" collapsed="false">
      <c r="A17" s="7" t="s">
        <v>76</v>
      </c>
      <c r="B17" s="8" t="n">
        <f aca="false">COUNTIF(Postulaciones!K5:K59,"Otro candidato seleccionado")</f>
        <v>0</v>
      </c>
    </row>
    <row r="18" customFormat="false" ht="15" hidden="false" customHeight="false" outlineLevel="0" collapsed="false">
      <c r="A18" s="7" t="s">
        <v>77</v>
      </c>
      <c r="B18" s="8" t="n">
        <f aca="false">COUNTIF(Postulaciones!K5:K59,"Entrevista no fue bien")</f>
        <v>0</v>
      </c>
    </row>
    <row r="19" customFormat="false" ht="15" hidden="false" customHeight="false" outlineLevel="0" collapsed="false">
      <c r="A19" s="7" t="s">
        <v>78</v>
      </c>
      <c r="B19" s="8" t="n">
        <f aca="false">COUNTIF(Postulaciones!K5:K59,"No pasó el filtro CV / ATS")</f>
        <v>0</v>
      </c>
    </row>
    <row r="20" customFormat="false" ht="15" hidden="false" customHeight="false" outlineLevel="0" collapsed="false">
      <c r="A20" s="7" t="s">
        <v>79</v>
      </c>
      <c r="B20" s="8" t="n">
        <f aca="false">COUNTIF(Postulaciones!K5:K59,"Proceso muy largo / desistí yo")</f>
        <v>0</v>
      </c>
    </row>
    <row r="21" customFormat="false" ht="15" hidden="false" customHeight="false" outlineLevel="0" collapsed="false">
      <c r="A21" s="7" t="s">
        <v>80</v>
      </c>
      <c r="B21" s="8" t="n">
        <f aca="false">COUNTIF(Postulaciones!K5:K59,"Otro")</f>
        <v>0</v>
      </c>
    </row>
    <row r="23" customFormat="false" ht="15" hidden="false" customHeight="false" outlineLevel="0" collapsed="false">
      <c r="A23" s="9" t="s">
        <v>81</v>
      </c>
      <c r="B23" s="15" t="str">
        <f aca="false">IFERROR(INDEX(A12:A21,MATCH(MAX(B12:B21),B12:B21,0)),"Sin datos aún")</f>
        <v>Habilidad técnica faltante</v>
      </c>
    </row>
    <row r="25" customFormat="false" ht="15" hidden="false" customHeight="false" outlineLevel="0" collapsed="false">
      <c r="A25" s="14" t="s">
        <v>82</v>
      </c>
    </row>
    <row r="26" customFormat="false" ht="30" hidden="false" customHeight="true" outlineLevel="0" collapsed="false">
      <c r="A26" s="16" t="str">
        <f aca="false">IF(B5&lt;8,"📈 Volumen bajo: postulaste a menos de 8 ofertas. Para tener resultados estadísticamente significativos, apuntá a aplicar varias por semana usando el Kit de Búsqueda Laboral que te mandamos por mail.","")</f>
        <v>📈 Volumen bajo: postulaste a menos de 8 ofertas. Para tener resultados estadísticamente significativos, apuntá a aplicar varias por semana usando el Kit de Búsqueda Laboral que te mandamos por mail.</v>
      </c>
      <c r="B26" s="16"/>
      <c r="C26" s="16"/>
      <c r="D26" s="16"/>
    </row>
    <row r="27" customFormat="false" ht="30" hidden="false" customHeight="true" outlineLevel="0" collapsed="false">
      <c r="A27" s="16" t="str">
        <f aca="false">IF(B5&gt;0.5,"⚠️ Más de la mitad de tus postulaciones no tienen respuesta. Suele indicar que el CV no pasa el filtro ATS o que la búsqueda no está bien afinada — usá una de las plantillas ATS del formulario y revisá que tu CV repita las palabras clave exactas de cada aviso.","")</f>
        <v/>
      </c>
      <c r="B27" s="16"/>
      <c r="C27" s="16"/>
      <c r="D27" s="16"/>
    </row>
    <row r="28" customFormat="false" ht="30" hidden="false" customHeight="true" outlineLevel="0" collapsed="false">
      <c r="A28" s="16" t="str">
        <f aca="false">IF(AND(B5&gt;=5,B13&lt;0.15),"🎯 Tu tasa de avance a entrevista es baja para el volumen que llevás. Antes de seguir aplicando más, revisá si el CV está bien alineado a los avisos a los que postulás.","")</f>
        <v/>
      </c>
      <c r="B28" s="16"/>
      <c r="C28" s="16"/>
      <c r="D28" s="16"/>
    </row>
    <row r="29" customFormat="false" ht="30" hidden="false" customHeight="true" outlineLevel="0" collapsed="false">
      <c r="A29" s="16" t="str">
        <f aca="false">IF(B23="Sin respuesta del reclutador","🔁 Motivo más frecuente: Sin respuesta del reclutador. El ghosting es muy común — no lo tomes como algo personal, seguí aplicando en volumen y activá más alertas del Kit.","")</f>
        <v/>
      </c>
      <c r="B29" s="16"/>
      <c r="C29" s="16"/>
      <c r="D29" s="16"/>
    </row>
    <row r="30" customFormat="false" ht="30" hidden="false" customHeight="true" outlineLevel="0" collapsed="false">
      <c r="A30" s="16" t="str">
        <f aca="false">IF(B23="Búsqueda cerrada / pausada por la empresa","🔁 Motivo más frecuente: Búsqueda cerrada / pausada por la empresa. No depende de tu perfil — es una señal de que conviene diversificar más portales y rubros.","")</f>
        <v/>
      </c>
      <c r="B30" s="16"/>
      <c r="C30" s="16"/>
      <c r="D30" s="16"/>
    </row>
    <row r="31" customFormat="false" ht="30" hidden="false" customHeight="true" outlineLevel="0" collapsed="false">
      <c r="A31" s="16" t="str">
        <f aca="false">IF(B23="Requisito de experiencia no cumplido","🔁 Motivo más frecuente: Requisito de experiencia no cumplido. Probá aplicar también a búsquedas de nivel junior/semi senior mientras sumás experiencia, y destacá proyectos personales o voluntariado en el CV.","")</f>
        <v/>
      </c>
      <c r="B31" s="16"/>
      <c r="C31" s="16"/>
      <c r="D31" s="16"/>
    </row>
    <row r="32" customFormat="false" ht="30" hidden="false" customHeight="true" outlineLevel="0" collapsed="false">
      <c r="A32" s="16" t="str">
        <f aca="false">IF(B23="Habilidad técnica faltante","🔁 Motivo más frecuente: Habilidad técnica faltante. Revisá la hoja 'Plan de capacitación': sumar esa habilidad puntual puede destrabar varias postulaciones parecidas.","")</f>
        <v>🔁 Motivo más frecuente: Habilidad técnica faltante. Revisá la hoja 'Plan de capacitación': sumar esa habilidad puntual puede destrabar varias postulaciones parecidas.</v>
      </c>
      <c r="B32" s="16"/>
      <c r="C32" s="16"/>
      <c r="D32" s="16"/>
    </row>
    <row r="33" customFormat="false" ht="30" hidden="false" customHeight="true" outlineLevel="0" collapsed="false">
      <c r="A33" s="16" t="str">
        <f aca="false">IF(B23="Expectativa salarial no acorde","🔁 Motivo más frecuente: Expectativa salarial no acorde. Investigá el rango de mercado de tu rol antes de la entrevista para negociar con datos concretos.","")</f>
        <v/>
      </c>
      <c r="B33" s="16"/>
      <c r="C33" s="16"/>
      <c r="D33" s="16"/>
    </row>
    <row r="34" customFormat="false" ht="30" hidden="false" customHeight="true" outlineLevel="0" collapsed="false">
      <c r="A34" s="16" t="str">
        <f aca="false">IF(B23="Otro candidato seleccionado","🔁 Motivo más frecuente: Otro candidato seleccionado. Buena señal: tu perfil está pasando los filtros. Es cuestión de volumen y timing, seguí aplicando.","")</f>
        <v/>
      </c>
      <c r="B34" s="16"/>
      <c r="C34" s="16"/>
      <c r="D34" s="16"/>
    </row>
    <row r="35" customFormat="false" ht="30" hidden="false" customHeight="true" outlineLevel="0" collapsed="false">
      <c r="A35" s="16" t="str">
        <f aca="false">IF(B23="Entrevista no fue bien","🔁 Motivo más frecuente: Entrevista no fue bien. Anotá después de cada entrevista qué pregunta te trabó — practicar esas respuestas puntuales mejora mucho la conversión.","")</f>
        <v/>
      </c>
      <c r="B35" s="16"/>
      <c r="C35" s="16"/>
      <c r="D35" s="16"/>
    </row>
    <row r="36" customFormat="false" ht="30" hidden="false" customHeight="true" outlineLevel="0" collapsed="false">
      <c r="A36" s="16" t="str">
        <f aca="false">IF(B23="No pasó el filtro CV / ATS","🔁 Motivo más frecuente: No pasó el filtro CV / ATS. Usá una de las plantillas ATS del formulario y revisá que tu CV tenga las palabras clave exactas de cada aviso.","")</f>
        <v/>
      </c>
      <c r="B36" s="16"/>
      <c r="C36" s="16"/>
      <c r="D36" s="16"/>
    </row>
    <row r="37" customFormat="false" ht="30" hidden="false" customHeight="true" outlineLevel="0" collapsed="false">
      <c r="A37" s="16" t="str">
        <f aca="false">IF(B23="Proceso muy largo / desistí yo","🔁 Motivo más frecuente: Proceso muy largo / desistí yo. Priorizá procesos con tiempos de respuesta más cortos si necesitás una salida rápida.","")</f>
        <v/>
      </c>
      <c r="B37" s="16"/>
      <c r="C37" s="16"/>
      <c r="D37" s="16"/>
    </row>
    <row r="38" customFormat="false" ht="30" hidden="false" customHeight="true" outlineLevel="0" collapsed="false">
      <c r="A38" s="16" t="str">
        <f aca="false">IF(B23="Otro","🔁 Motivo más frecuente: Otro. Anotá el detalle en la columna Notas para poder revisar el patrón más adelante.","")</f>
        <v/>
      </c>
      <c r="B38" s="16"/>
      <c r="C38" s="16"/>
      <c r="D38" s="16"/>
    </row>
    <row r="39" customFormat="false" ht="30" hidden="false" customHeight="true" outlineLevel="0" collapsed="false">
      <c r="A39" s="16" t="str">
        <f aca="false">IF(B9&gt;0,"🎉 ¡Ya tenés ofertas recibidas! Compará condiciones (salario, modalidad, crecimiento) antes de decidir, y no dejes de registrar el resultado final acá.","")</f>
        <v/>
      </c>
      <c r="B39" s="16"/>
      <c r="C39" s="16"/>
      <c r="D39" s="16"/>
    </row>
    <row r="41" customFormat="false" ht="27.75" hidden="false" customHeight="true" outlineLevel="0" collapsed="false">
      <c r="A41" s="17" t="s">
        <v>83</v>
      </c>
      <c r="B41" s="17"/>
      <c r="C41" s="17"/>
      <c r="D41" s="17"/>
    </row>
  </sheetData>
  <mergeCells count="17">
    <mergeCell ref="A1:D1"/>
    <mergeCell ref="A2:D2"/>
    <mergeCell ref="A26:D26"/>
    <mergeCell ref="A27:D27"/>
    <mergeCell ref="A28:D28"/>
    <mergeCell ref="A29:D29"/>
    <mergeCell ref="A30:D30"/>
    <mergeCell ref="A31:D31"/>
    <mergeCell ref="A32:D32"/>
    <mergeCell ref="A33:D33"/>
    <mergeCell ref="A34:D34"/>
    <mergeCell ref="A35:D35"/>
    <mergeCell ref="A36:D36"/>
    <mergeCell ref="A37:D37"/>
    <mergeCell ref="A38:D38"/>
    <mergeCell ref="A39:D39"/>
    <mergeCell ref="A41:D4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2026-08-16T19:50:28Z</dcterms:created>
  <dc:creator>openpyxl</dc:creator>
  <dc:description/>
  <dc:language>en-US</dc:language>
  <cp:lastModifiedBy/>
  <dcterms:modified xsi:type="dcterms:W3CDTF">2026-08-16T19:50:30Z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